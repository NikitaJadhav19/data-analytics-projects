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ata" sheetId="1" r:id="rId5"/>
    <sheet state="visible" name="Pivot Table 1" sheetId="2" r:id="rId6"/>
    <sheet state="visible" name="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<sst xmlns="http://schemas.openxmlformats.org/spreadsheetml/2006/main" count="79" uniqueCount="38">
  <si>
    <t>Employee ID</t>
  </si>
  <si>
    <t>Gender</t>
  </si>
  <si>
    <t>Department</t>
  </si>
  <si>
    <t>Job Role</t>
  </si>
  <si>
    <t>Age</t>
  </si>
  <si>
    <t>Salary</t>
  </si>
  <si>
    <t>Attrition</t>
  </si>
  <si>
    <t>EMP001</t>
  </si>
  <si>
    <t>Male</t>
  </si>
  <si>
    <t>Sales</t>
  </si>
  <si>
    <t>Sales Executive</t>
  </si>
  <si>
    <t>Yes</t>
  </si>
  <si>
    <t>EMP002</t>
  </si>
  <si>
    <t>Female</t>
  </si>
  <si>
    <t>HR</t>
  </si>
  <si>
    <t>HR Executive</t>
  </si>
  <si>
    <t>No</t>
  </si>
  <si>
    <t>EMP003</t>
  </si>
  <si>
    <t>IT</t>
  </si>
  <si>
    <t>Data Analyst</t>
  </si>
  <si>
    <t>EMP004</t>
  </si>
  <si>
    <t>Finance</t>
  </si>
  <si>
    <t>Accountant</t>
  </si>
  <si>
    <t>EMP005</t>
  </si>
  <si>
    <t>Software Engineer</t>
  </si>
  <si>
    <t>EMP006</t>
  </si>
  <si>
    <t>EMP007</t>
  </si>
  <si>
    <t>Recruiter</t>
  </si>
  <si>
    <t>EMP008</t>
  </si>
  <si>
    <t>EMP009</t>
  </si>
  <si>
    <t>EMP010</t>
  </si>
  <si>
    <t>📊 HR Analytics Dashboard</t>
  </si>
  <si>
    <t>👥 Total Employees</t>
  </si>
  <si>
    <t>❌ Attrition</t>
  </si>
  <si>
    <t>📊 Attrition Rate</t>
  </si>
  <si>
    <t>💰 Avg Salary</t>
  </si>
  <si>
    <t>COUNTA of Employee 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</si>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</sst>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25.0"/>
      <color theme="1"/>
      <name val="Arial"/>
      <scheme val="minor"/>
    </font>
    <font>
      <b/>
      <sz val="18.0"/>
      <color theme="1"/>
      <name val="Arial"/>
      <scheme val="minor"/>
    </font>
    <font>
      <b/>
      <sz val="23.0"/>
      <color rgb="FFFFFFFF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4" numFmtId="0" xfId="0" applyAlignment="1" applyFont="1">
      <alignment horizontal="right" readingOrder="0"/>
    </xf>
    <xf borderId="0" fillId="2" fontId="5" numFmtId="0" xfId="0" applyAlignment="1" applyFont="1">
      <alignment horizontal="center" readingOrder="0"/>
    </xf>
    <xf borderId="0" fillId="2" fontId="2" numFmtId="0" xfId="0" applyFont="1"/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2" fillId="3" fontId="1" numFmtId="0" xfId="0" applyAlignment="1" applyBorder="1" applyFont="1">
      <alignment horizontal="center"/>
    </xf>
    <xf borderId="0" fillId="4" fontId="1" numFmtId="0" xfId="0" applyAlignment="1" applyFont="1">
      <alignment horizontal="center"/>
    </xf>
    <xf borderId="0" fillId="5" fontId="1" numFmtId="10" xfId="0" applyAlignment="1" applyFont="1" applyNumberFormat="1">
      <alignment horizontal="center"/>
    </xf>
    <xf borderId="0" fillId="6" fontId="1" numFmtId="164" xfId="0" applyAlignment="1" applyFont="1" applyNumberFormat="1">
      <alignment horizontal="center"/>
    </xf>
    <xf borderId="2" fillId="0" fontId="6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axId val="2021429500"/>
        <c:axId val="898250939"/>
      </c:barChart>
      <c:catAx>
        <c:axId val="2021429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250939"/>
      </c:catAx>
      <c:valAx>
        <c:axId val="898250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429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 1'!$B$8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1'!$A$9:$A$11</c:f>
            </c:strRef>
          </c:cat>
          <c:val>
            <c:numRef>
              <c:f>'Pivot Table 1'!$B$9:$B$11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'Pivot Table 1'!$B$14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1'!$A$15:$A$17</c:f>
            </c:strRef>
          </c:cat>
          <c:val>
            <c:numRef>
              <c:f>'Pivot Table 1'!$B$15:$B$17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 Gender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1'!$A$9:$A$10</c:f>
            </c:strRef>
          </c:cat>
          <c:val>
            <c:numRef>
              <c:f>'Pivot Table 1'!$B$9:$B$10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Attrition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1'!$B$14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1'!$A$15:$A$16</c:f>
            </c:strRef>
          </c:cat>
          <c:val>
            <c:numRef>
              <c:f>'Pivot Table 1'!$B$15:$B$16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Employees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1893877911"/>
        <c:axId val="738020675"/>
      </c:barChart>
      <c:catAx>
        <c:axId val="1893877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020675"/>
      </c:catAx>
      <c:valAx>
        <c:axId val="738020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877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2</xdr:row>
      <xdr:rowOff>66675</xdr:rowOff>
    </xdr:from>
    <xdr:ext cx="3067050" cy="2552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76200</xdr:colOff>
      <xdr:row>2</xdr:row>
      <xdr:rowOff>66675</xdr:rowOff>
    </xdr:from>
    <xdr:ext cx="2705100" cy="2552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390525</xdr:colOff>
      <xdr:row>2</xdr:row>
      <xdr:rowOff>66675</xdr:rowOff>
    </xdr:from>
    <xdr:ext cx="3028950" cy="2552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6</xdr:row>
      <xdr:rowOff>133350</xdr:rowOff>
    </xdr:from>
    <xdr:ext cx="3667125" cy="3133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209550</xdr:colOff>
      <xdr:row>6</xdr:row>
      <xdr:rowOff>133350</xdr:rowOff>
    </xdr:from>
    <xdr:ext cx="3981450" cy="3133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514350</xdr:colOff>
      <xdr:row>6</xdr:row>
      <xdr:rowOff>133350</xdr:rowOff>
    </xdr:from>
    <xdr:ext cx="3667125" cy="31337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" sheet="Employee Data"/>
  </cacheSource>
  <cacheFields>
    <cacheField name="Employee ID" numFmtId="0">
      <sharedItems>
        <s v="EMP001"/>
        <s v="EMP002"/>
        <s v="EMP003"/>
        <s v="EMP004"/>
        <s v="EMP005"/>
        <s v="EMP006"/>
        <s v="EMP007"/>
        <s v="EMP008"/>
        <s v="EMP009"/>
        <s v="EMP010"/>
      </sharedItems>
    </cacheField>
    <cacheField name="Gender" numFmtId="0">
      <sharedItems>
        <s v="Male"/>
        <s v="Female"/>
      </sharedItems>
    </cacheField>
    <cacheField name="Department" numFmtId="0">
      <sharedItems>
        <s v="Sales"/>
        <s v="HR"/>
        <s v="IT"/>
        <s v="Finance"/>
      </sharedItems>
    </cacheField>
    <cacheField name="Job Role" numFmtId="0">
      <sharedItems>
        <s v="Sales Executive"/>
        <s v="HR Executive"/>
        <s v="Data Analyst"/>
        <s v="Accountant"/>
        <s v="Software Engineer"/>
        <s v="Recruiter"/>
      </sharedItems>
    </cacheField>
    <cacheField name="Age" numFmtId="0">
      <sharedItems containsSemiMixedTypes="0" containsString="0" containsNumber="1" containsInteger="1">
        <n v="25.0"/>
        <n v="28.0"/>
        <n v="24.0"/>
        <n v="30.0"/>
        <n v="27.0"/>
        <n v="26.0"/>
        <n v="29.0"/>
        <n v="23.0"/>
        <n v="31.0"/>
      </sharedItems>
    </cacheField>
    <cacheField name="Salary" numFmtId="0">
      <sharedItems containsSemiMixedTypes="0" containsString="0" containsNumber="1" containsInteger="1">
        <n v="30000.0"/>
        <n v="35000.0"/>
        <n v="40000.0"/>
        <n v="42000.0"/>
        <n v="50000.0"/>
        <n v="32000.0"/>
        <n v="36000.0"/>
        <n v="39000.0"/>
        <n v="45000.0"/>
        <n v="52000.0"/>
      </sharedItems>
    </cacheField>
    <cacheField name="Attrition" numFmtId="0">
      <sharedItems>
        <s v="Yes"/>
        <s v="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epartment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OUNTA of Employee 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8:B11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COUNTA of Employee 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14:B17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t="default"/>
      </items>
    </pivotField>
    <pivotField name="Job Ro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ttrition" axis="axisRow" compact="0" outline="0" multipleItemSelectionAllowed="1" showAll="0" sortType="ascending">
      <items>
        <item x="1"/>
        <item x="0"/>
        <item t="default"/>
      </items>
    </pivotField>
  </pivotFields>
  <rowFields>
    <field x="6"/>
  </rowFields>
  <dataFields>
    <dataField name="COUNTA of Employee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>
        <v>25.0</v>
      </c>
      <c r="F2" s="4">
        <v>30000.0</v>
      </c>
      <c r="G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4">
        <v>28.0</v>
      </c>
      <c r="F3" s="4">
        <v>35000.0</v>
      </c>
      <c r="G3" s="3" t="s">
        <v>16</v>
      </c>
    </row>
    <row r="4">
      <c r="A4" s="3" t="s">
        <v>17</v>
      </c>
      <c r="B4" s="3" t="s">
        <v>8</v>
      </c>
      <c r="C4" s="3" t="s">
        <v>18</v>
      </c>
      <c r="D4" s="3" t="s">
        <v>19</v>
      </c>
      <c r="E4" s="4">
        <v>24.0</v>
      </c>
      <c r="F4" s="4">
        <v>40000.0</v>
      </c>
      <c r="G4" s="3" t="s">
        <v>16</v>
      </c>
    </row>
    <row r="5">
      <c r="A5" s="3" t="s">
        <v>20</v>
      </c>
      <c r="B5" s="3" t="s">
        <v>13</v>
      </c>
      <c r="C5" s="3" t="s">
        <v>21</v>
      </c>
      <c r="D5" s="3" t="s">
        <v>22</v>
      </c>
      <c r="E5" s="4">
        <v>30.0</v>
      </c>
      <c r="F5" s="4">
        <v>42000.0</v>
      </c>
      <c r="G5" s="3" t="s">
        <v>11</v>
      </c>
    </row>
    <row r="6">
      <c r="A6" s="3" t="s">
        <v>23</v>
      </c>
      <c r="B6" s="3" t="s">
        <v>8</v>
      </c>
      <c r="C6" s="3" t="s">
        <v>18</v>
      </c>
      <c r="D6" s="3" t="s">
        <v>24</v>
      </c>
      <c r="E6" s="4">
        <v>27.0</v>
      </c>
      <c r="F6" s="4">
        <v>50000.0</v>
      </c>
      <c r="G6" s="3" t="s">
        <v>16</v>
      </c>
    </row>
    <row r="7">
      <c r="A7" s="3" t="s">
        <v>25</v>
      </c>
      <c r="B7" s="3" t="s">
        <v>13</v>
      </c>
      <c r="C7" s="3" t="s">
        <v>9</v>
      </c>
      <c r="D7" s="3" t="s">
        <v>10</v>
      </c>
      <c r="E7" s="4">
        <v>26.0</v>
      </c>
      <c r="F7" s="4">
        <v>32000.0</v>
      </c>
      <c r="G7" s="3" t="s">
        <v>16</v>
      </c>
    </row>
    <row r="8">
      <c r="A8" s="3" t="s">
        <v>26</v>
      </c>
      <c r="B8" s="3" t="s">
        <v>8</v>
      </c>
      <c r="C8" s="3" t="s">
        <v>14</v>
      </c>
      <c r="D8" s="3" t="s">
        <v>27</v>
      </c>
      <c r="E8" s="4">
        <v>29.0</v>
      </c>
      <c r="F8" s="4">
        <v>36000.0</v>
      </c>
      <c r="G8" s="3" t="s">
        <v>11</v>
      </c>
    </row>
    <row r="9">
      <c r="A9" s="3" t="s">
        <v>28</v>
      </c>
      <c r="B9" s="3" t="s">
        <v>13</v>
      </c>
      <c r="C9" s="3" t="s">
        <v>18</v>
      </c>
      <c r="D9" s="3" t="s">
        <v>19</v>
      </c>
      <c r="E9" s="4">
        <v>23.0</v>
      </c>
      <c r="F9" s="4">
        <v>39000.0</v>
      </c>
      <c r="G9" s="3" t="s">
        <v>16</v>
      </c>
    </row>
    <row r="10">
      <c r="A10" s="3" t="s">
        <v>29</v>
      </c>
      <c r="B10" s="3" t="s">
        <v>8</v>
      </c>
      <c r="C10" s="3" t="s">
        <v>21</v>
      </c>
      <c r="D10" s="3" t="s">
        <v>22</v>
      </c>
      <c r="E10" s="4">
        <v>31.0</v>
      </c>
      <c r="F10" s="4">
        <v>45000.0</v>
      </c>
      <c r="G10" s="3" t="s">
        <v>16</v>
      </c>
    </row>
    <row r="11">
      <c r="A11" s="3" t="s">
        <v>30</v>
      </c>
      <c r="B11" s="3" t="s">
        <v>13</v>
      </c>
      <c r="C11" s="3" t="s">
        <v>18</v>
      </c>
      <c r="D11" s="3" t="s">
        <v>24</v>
      </c>
      <c r="E11" s="4">
        <v>26.0</v>
      </c>
      <c r="F11" s="4">
        <v>52000.0</v>
      </c>
      <c r="G11" s="3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75"/>
  </cols>
  <sheetData>
    <row r="1"/>
    <row r="2"/>
    <row r="3"/>
    <row r="4"/>
    <row r="5"/>
    <row r="6"/>
    <row r="8"/>
    <row r="9"/>
    <row r="10"/>
    <row r="11"/>
    <row r="14"/>
    <row r="15"/>
    <row r="16"/>
    <row r="17"/>
  </sheetData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3" max="3" width="15.75"/>
    <col customWidth="1" min="4" max="4" width="12.0"/>
    <col customWidth="1" min="5" max="5" width="13.88"/>
    <col customWidth="1" min="7" max="7" width="13.5"/>
  </cols>
  <sheetData>
    <row r="1">
      <c r="A1" s="5"/>
      <c r="B1" s="6"/>
      <c r="C1" s="7"/>
      <c r="D1" s="7"/>
      <c r="E1" s="8" t="s">
        <v>31</v>
      </c>
      <c r="I1" s="9"/>
      <c r="J1" s="9"/>
      <c r="K1" s="9"/>
      <c r="L1" s="9"/>
      <c r="M1" s="9"/>
      <c r="N1" s="9"/>
    </row>
    <row r="3">
      <c r="C3" s="10" t="s">
        <v>32</v>
      </c>
      <c r="E3" s="11" t="s">
        <v>33</v>
      </c>
      <c r="G3" s="12" t="s">
        <v>34</v>
      </c>
      <c r="I3" s="13" t="s">
        <v>35</v>
      </c>
    </row>
    <row r="4">
      <c r="C4" s="14">
        <f>COUNTA('Employee Data'!A2:A11)</f>
        <v>10</v>
      </c>
      <c r="E4" s="15">
        <f>COUNTIF('Employee Data'!G2:G11,"Yes")</f>
        <v>3</v>
      </c>
      <c r="G4" s="16">
        <f>COUNTIF('Employee Data'!G2:G11,"Yes")/COUNTA('Employee Data'!A2:A11)</f>
        <v>0.3</v>
      </c>
      <c r="I4" s="17">
        <f>AVERAGE('Employee Data'!F2:F11)</f>
        <v>40100</v>
      </c>
    </row>
    <row r="5">
      <c r="C5" s="18"/>
    </row>
    <row r="22">
      <c r="G22" s="19"/>
      <c r="I22" s="20"/>
      <c r="K22" s="19"/>
    </row>
  </sheetData>
  <mergeCells count="5">
    <mergeCell ref="E1:H1"/>
    <mergeCell ref="C4:C5"/>
    <mergeCell ref="E4:E5"/>
    <mergeCell ref="G4:G5"/>
    <mergeCell ref="I4:I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